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illcapital-my.sharepoint.com/personal/alejandro_garcia_billcapital_com/Documents/Escritorio/"/>
    </mc:Choice>
  </mc:AlternateContent>
  <xr:revisionPtr revIDLastSave="0" documentId="11_4CEF36D4B38B8F3B28FD161160FAB11CA7A74F93" xr6:coauthVersionLast="47" xr6:coauthVersionMax="47" xr10:uidLastSave="{00000000-0000-0000-0000-000000000000}"/>
  <bookViews>
    <workbookView xWindow="-120" yWindow="-120" windowWidth="29040" windowHeight="15720" xr2:uid="{00000000-000D-0000-FFFF-FFFF00000000}"/>
  </bookViews>
  <sheets>
    <sheet name="Leeme" sheetId="1" r:id="rId1"/>
    <sheet name="Supuestos" sheetId="2" r:id="rId2"/>
    <sheet name="Costeo" sheetId="3" r:id="rId3"/>
    <sheet name="Resumen" sheetId="4" r:id="rId4"/>
    <sheet name="Equilibri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5" l="1"/>
  <c r="B29" i="5"/>
  <c r="C17" i="5"/>
  <c r="B9" i="5"/>
  <c r="B7" i="5"/>
  <c r="B6" i="5"/>
  <c r="B5" i="5"/>
  <c r="E17" i="4"/>
  <c r="E21" i="4" s="1"/>
  <c r="F10" i="4"/>
  <c r="D10" i="4"/>
  <c r="F8" i="4"/>
  <c r="D8" i="4"/>
  <c r="F5" i="4"/>
  <c r="D5" i="4"/>
  <c r="E25" i="3"/>
  <c r="E22" i="3"/>
  <c r="F22" i="3" s="1"/>
  <c r="C10" i="4" s="1"/>
  <c r="E10" i="4" s="1"/>
  <c r="E21" i="3"/>
  <c r="C21" i="3"/>
  <c r="E20" i="3"/>
  <c r="F20" i="3" s="1"/>
  <c r="C9" i="4" s="1"/>
  <c r="E19" i="3"/>
  <c r="F19" i="3" s="1"/>
  <c r="E18" i="3"/>
  <c r="F18" i="3" s="1"/>
  <c r="E17" i="3"/>
  <c r="F17" i="3" s="1"/>
  <c r="C8" i="4" s="1"/>
  <c r="E8" i="4" s="1"/>
  <c r="E15" i="3"/>
  <c r="C15" i="3"/>
  <c r="E14" i="3"/>
  <c r="E13" i="3"/>
  <c r="E12" i="3"/>
  <c r="F12" i="3" s="1"/>
  <c r="E11" i="3"/>
  <c r="F11" i="3" s="1"/>
  <c r="E10" i="3"/>
  <c r="F10" i="3" s="1"/>
  <c r="E9" i="3"/>
  <c r="F9" i="3" s="1"/>
  <c r="E8" i="3"/>
  <c r="E7" i="3"/>
  <c r="F7" i="3" s="1"/>
  <c r="E6" i="3"/>
  <c r="F6" i="3" s="1"/>
  <c r="C6" i="4" s="1"/>
  <c r="E5" i="3"/>
  <c r="F5" i="3" s="1"/>
  <c r="B28" i="2"/>
  <c r="B8" i="5" s="1"/>
  <c r="B22" i="2"/>
  <c r="C14" i="3" s="1"/>
  <c r="E16" i="3" l="1"/>
  <c r="C23" i="5"/>
  <c r="G21" i="3"/>
  <c r="F9" i="4" s="1"/>
  <c r="F21" i="3"/>
  <c r="D9" i="4" s="1"/>
  <c r="E9" i="4" s="1"/>
  <c r="G15" i="3"/>
  <c r="F15" i="3"/>
  <c r="G13" i="3"/>
  <c r="F13" i="3"/>
  <c r="D7" i="4" s="1"/>
  <c r="F16" i="3"/>
  <c r="G16" i="3"/>
  <c r="G8" i="3"/>
  <c r="F8" i="3"/>
  <c r="C5" i="4"/>
  <c r="B10" i="5"/>
  <c r="C22" i="5" s="1"/>
  <c r="B11" i="5"/>
  <c r="F14" i="3"/>
  <c r="G14" i="3"/>
  <c r="C7" i="4"/>
  <c r="D6" i="4" l="1"/>
  <c r="F24" i="3"/>
  <c r="F6" i="4"/>
  <c r="G24" i="3"/>
  <c r="E6" i="4"/>
  <c r="D11" i="4"/>
  <c r="E5" i="4"/>
  <c r="C11" i="4"/>
  <c r="F25" i="3"/>
  <c r="F26" i="3" s="1"/>
  <c r="F7" i="4"/>
  <c r="B12" i="5"/>
  <c r="E7" i="4"/>
  <c r="F11" i="4" l="1"/>
  <c r="F12" i="4"/>
  <c r="F13" i="4" s="1"/>
  <c r="C18" i="5" s="1"/>
  <c r="C24" i="5" s="1"/>
  <c r="G25" i="3"/>
  <c r="G26" i="3"/>
  <c r="D12" i="4"/>
  <c r="D13" i="4" s="1"/>
  <c r="E11" i="4"/>
  <c r="C12" i="4"/>
  <c r="C13" i="4"/>
  <c r="E12" i="4" l="1"/>
  <c r="E13" i="4" s="1"/>
  <c r="G5" i="4" l="1"/>
  <c r="G6" i="4"/>
  <c r="G7" i="4"/>
  <c r="G9" i="4"/>
  <c r="G8" i="4"/>
  <c r="G10" i="4"/>
  <c r="G13" i="4"/>
  <c r="E16" i="4"/>
  <c r="B18" i="5"/>
  <c r="B24" i="5" s="1"/>
  <c r="B17" i="5"/>
  <c r="G12" i="4"/>
  <c r="G11" i="4"/>
  <c r="E18" i="4" l="1"/>
  <c r="E20" i="4"/>
  <c r="E19" i="4"/>
  <c r="B23" i="5"/>
  <c r="B22" i="5"/>
</calcChain>
</file>

<file path=xl/sharedStrings.xml><?xml version="1.0" encoding="utf-8"?>
<sst xmlns="http://schemas.openxmlformats.org/spreadsheetml/2006/main" count="319" uniqueCount="243">
  <si>
    <t>Costeo del MVP · Desafío Marley Coffee</t>
  </si>
  <si>
    <t>Presupuesto construido de abajo hacia arriba y punto de equilibrio. Preparado para la reunión del miércoles.</t>
  </si>
  <si>
    <t>CÓMO ESTÁ ARMADO</t>
  </si>
  <si>
    <t>Supuestos</t>
  </si>
  <si>
    <t>Todas las tarifas, precios y volúmenes, cada uno con su fuente. Es la única hoja que hay que tocar.</t>
  </si>
  <si>
    <t>Costeo</t>
  </si>
  <si>
    <t>Cada línea es cantidad × precio unitario. Los precios vienen de Supuestos; las horas son estimación del equipo.</t>
  </si>
  <si>
    <t>Resumen</t>
  </si>
  <si>
    <t>Inversión inicial y costo recurrente por bloque, año 1 y año 2, contra el presupuesto comprometido.</t>
  </si>
  <si>
    <t>Equilibrio</t>
  </si>
  <si>
    <t>Cuánto margen debe dejar cada punto recuperado para que el plan se pague. Tiene una celda para el dato real.</t>
  </si>
  <si>
    <t>CÓDIGO DE COLORES</t>
  </si>
  <si>
    <t>Texto azul</t>
  </si>
  <si>
    <t>Entrada editable. Cambiarla recalcula todo el libro.</t>
  </si>
  <si>
    <t>Texto negro</t>
  </si>
  <si>
    <t>Fórmula. No editar.</t>
  </si>
  <si>
    <t>Texto verde</t>
  </si>
  <si>
    <t>Vínculo a otra hoja. No editar.</t>
  </si>
  <si>
    <t>Fondo amarillo</t>
  </si>
  <si>
    <t>Supuesto clave, o celda que debe completar Marley.</t>
  </si>
  <si>
    <t>MARCAS DE FUENTE</t>
  </si>
  <si>
    <t>[C]</t>
  </si>
  <si>
    <t>Dato del caso.</t>
  </si>
  <si>
    <t>[P]</t>
  </si>
  <si>
    <t>Precio público de mercado, con fuente y fecha.</t>
  </si>
  <si>
    <t>[D]</t>
  </si>
  <si>
    <t>Derivación aritmética sobre [C] o [P].</t>
  </si>
  <si>
    <t>[S]</t>
  </si>
  <si>
    <t>Supuesto del equipo. Es lo primero que conviene discutir.</t>
  </si>
  <si>
    <t>LO QUE ESTE LIBRO NO HACE</t>
  </si>
  <si>
    <t>Ventas en pesos</t>
  </si>
  <si>
    <t>El caso no entrega ventas, precio, ticket ni margen en pesos, y no existe una cifra pública de Chile. Por eso el impacto se mide como punto de equilibrio y no como ROI.</t>
  </si>
  <si>
    <t>Tarifa de agencia</t>
  </si>
  <si>
    <t>Se usa tarifa freelance: el costeo es un piso. Una agencia cobra más.</t>
  </si>
  <si>
    <t>Texto azul = editable. Cada valor lleva su fuente. Cambiar un valor acá recalcula Costeo, Resumen y Equilibrio.</t>
  </si>
  <si>
    <t>Parámetro</t>
  </si>
  <si>
    <t>Valor</t>
  </si>
  <si>
    <t>Unidad</t>
  </si>
  <si>
    <t>Fuente</t>
  </si>
  <si>
    <t>TARIFAS DE DESARROLLO</t>
  </si>
  <si>
    <t>Desarrollador junior</t>
  </si>
  <si>
    <t>CLP / hora</t>
  </si>
  <si>
    <t>[P] Apollo.TI, guía 2026: CLP 25.000–35.000/h</t>
  </si>
  <si>
    <t>Desarrollador semi-senior</t>
  </si>
  <si>
    <t>[P] Apollo.TI, guía 2026: CLP 35.000–55.000/h</t>
  </si>
  <si>
    <t>Desarrollador senior</t>
  </si>
  <si>
    <t>[P] Apollo.TI, guía 2026: CLP 55.000–80.000/h</t>
  </si>
  <si>
    <t>Mantención anual de integraciones</t>
  </si>
  <si>
    <t>% del desarrollo</t>
  </si>
  <si>
    <t>[P] Apollo.TI: regla de mercado 15–20% anual. Se usa el punto medio</t>
  </si>
  <si>
    <t>PLATAFORMA Y LICENCIAS</t>
  </si>
  <si>
    <t>Plataforma BSP de WhatsApp</t>
  </si>
  <si>
    <t>CLP / mes</t>
  </si>
  <si>
    <t>[P] ChatDaddy 2026, plan de entrada. Es un piso: otros proveedores cobran más</t>
  </si>
  <si>
    <t>Mensaje de utilidad de WhatsApp</t>
  </si>
  <si>
    <t>CLP / mensaje</t>
  </si>
  <si>
    <t>[P] Meta, tarifa Chile 2026: CLP 5,4–8,1. Se usa el techo</t>
  </si>
  <si>
    <t>Mensaje de servicio (ventana de 24 h)</t>
  </si>
  <si>
    <t>[P] Meta: sin cobro dentro de la ventana de servicio. El pedido lo inicia el cliente</t>
  </si>
  <si>
    <t>Licencia de CRM</t>
  </si>
  <si>
    <t>USD / usuario / mes</t>
  </si>
  <si>
    <t>[P] HubSpot Sales Hub Starter, G2 y Apexure, sep-2026</t>
  </si>
  <si>
    <t>Usuarios de CRM</t>
  </si>
  <si>
    <t>usuarios</t>
  </si>
  <si>
    <t>[S] comercial B2B, analista de datos, 2 coordinadoras, líder de proyecto</t>
  </si>
  <si>
    <t>Licencia de visualización</t>
  </si>
  <si>
    <t>[P] Looker Studio: sin costo de licencia en uso estándar</t>
  </si>
  <si>
    <t>MACRO</t>
  </si>
  <si>
    <t>Dólar observado</t>
  </si>
  <si>
    <t>CLP / USD</t>
  </si>
  <si>
    <t>[P] 9-sep-2026, Banco Central vía dolaronline.cl</t>
  </si>
  <si>
    <t>VOLUMEN</t>
  </si>
  <si>
    <t>Puntos Horeca activos</t>
  </si>
  <si>
    <t>puntos</t>
  </si>
  <si>
    <t>[C] Base del caso</t>
  </si>
  <si>
    <t>Meta de reposición digital Horeca</t>
  </si>
  <si>
    <t>% de puntos</t>
  </si>
  <si>
    <t>[C] Meta oficial a 12 meses</t>
  </si>
  <si>
    <t>Puntos en el canal instrumentado al mes 12</t>
  </si>
  <si>
    <t>[D] Puntos Horeca × meta digital</t>
  </si>
  <si>
    <t>Pedidos por punto al año</t>
  </si>
  <si>
    <t>pedidos</t>
  </si>
  <si>
    <t>[S] Supuesto S-17 del informe: reposición mensual</t>
  </si>
  <si>
    <t>Mensajes de utilidad por pedido</t>
  </si>
  <si>
    <t>mensajes</t>
  </si>
  <si>
    <t>[S] Confirmación, despacho y entrega</t>
  </si>
  <si>
    <t>RETENCIÓN Y EQUILIBRIO</t>
  </si>
  <si>
    <t>Retención Horeca actual</t>
  </si>
  <si>
    <t>%</t>
  </si>
  <si>
    <t>[C] Línea base del caso</t>
  </si>
  <si>
    <t>Retención Horeca meta</t>
  </si>
  <si>
    <t>Puntos recuperados por año</t>
  </si>
  <si>
    <t>puntos equivalentes</t>
  </si>
  <si>
    <t>[D] El caso mide retención sobre clientes: es una equivalencia en puntos</t>
  </si>
  <si>
    <t>Factor de gradualidad del año 1</t>
  </si>
  <si>
    <t>fracción del año</t>
  </si>
  <si>
    <t>[S] La mejora opera de forma progresiva: en promedio, medio año de efecto</t>
  </si>
  <si>
    <t>PRESUPUESTO</t>
  </si>
  <si>
    <t>Contingencia</t>
  </si>
  <si>
    <t>% del subtotal</t>
  </si>
  <si>
    <t>[S] Práctica de mercado en proyectos de software</t>
  </si>
  <si>
    <t>Presupuesto máximo del caso</t>
  </si>
  <si>
    <t>CLP, sin IVA</t>
  </si>
  <si>
    <t>[C] §3.6 del caso, primeros 12 meses</t>
  </si>
  <si>
    <t>Presupuesto comprometido del informe</t>
  </si>
  <si>
    <t>[C] Informe Final, tabla de presupuesto: 38% del total</t>
  </si>
  <si>
    <t>Costeo de abajo hacia arriba</t>
  </si>
  <si>
    <t>Cada línea es cantidad × precio unitario. Horas en azul = estimación del equipo, editable. Precios en verde = vienen de Supuestos.</t>
  </si>
  <si>
    <t>Bloque</t>
  </si>
  <si>
    <t>Ítem</t>
  </si>
  <si>
    <t>Cantidad</t>
  </si>
  <si>
    <t>Precio unitario (CLP)</t>
  </si>
  <si>
    <t>Total año 1 (CLP)</t>
  </si>
  <si>
    <t>Total año 2 (CLP)</t>
  </si>
  <si>
    <t>Tipo</t>
  </si>
  <si>
    <t>Etapa</t>
  </si>
  <si>
    <t>Base</t>
  </si>
  <si>
    <t>B1</t>
  </si>
  <si>
    <t>Depuración y carga del maestro de puntos Horeca</t>
  </si>
  <si>
    <t>horas</t>
  </si>
  <si>
    <t>Inicial</t>
  </si>
  <si>
    <t>Fase 0 · sem 1–6</t>
  </si>
  <si>
    <t>Completitud actual 26%: faltan ~850 fichas por completar</t>
  </si>
  <si>
    <t>B2</t>
  </si>
  <si>
    <t>Diseño del modelo de datos y de las vistas</t>
  </si>
  <si>
    <t>Fase 0</t>
  </si>
  <si>
    <t>Define qué se ve por punto, por canal y por alerta</t>
  </si>
  <si>
    <t>Construcción del tablero centralizado</t>
  </si>
  <si>
    <t>Fase 0 → Corto</t>
  </si>
  <si>
    <t>Consola interna: dato consolidado, reglas y vista por punto</t>
  </si>
  <si>
    <t>meses</t>
  </si>
  <si>
    <t>Recurrente</t>
  </si>
  <si>
    <t>Continuo</t>
  </si>
  <si>
    <t>Looker Studio sin costo; si se elige Power BI, cambiar en Supuestos</t>
  </si>
  <si>
    <t>LE1</t>
  </si>
  <si>
    <t>Diseño del flujo conversacional de pedido</t>
  </si>
  <si>
    <t>Corto · mes 2</t>
  </si>
  <si>
    <t>El cliente pide igual que hoy; el pedido queda como objeto con estado</t>
  </si>
  <si>
    <t>Integración WhatsApp ↔ CRM</t>
  </si>
  <si>
    <t>Corto · mes 2–3</t>
  </si>
  <si>
    <t>Cada conversación de pedido crea un registro vinculado al punto</t>
  </si>
  <si>
    <t>Integración CRM ↔ ERP (estado de pedido)</t>
  </si>
  <si>
    <t>Corto · mes 2–4</t>
  </si>
  <si>
    <t>La pieza más compleja: el ERP no identifica el punto físico</t>
  </si>
  <si>
    <t>Pruebas y ajuste en el piloto de 36 puntos</t>
  </si>
  <si>
    <t>Corto · mes 4</t>
  </si>
  <si>
    <t>20 Horeca · 10 panaderías independientes · 6 OCS directos</t>
  </si>
  <si>
    <t>Proveedor autorizado de la API de WhatsApp Business</t>
  </si>
  <si>
    <t>Mensajes de utilidad fuera de la ventana de 24 h</t>
  </si>
  <si>
    <t>Puntos del canal × pedidos × mensajes. Los de servicio no se cobran</t>
  </si>
  <si>
    <t>Licencias de CRM</t>
  </si>
  <si>
    <t>usuario-mes</t>
  </si>
  <si>
    <t>Si el CRM actual de Marley lo soporta, esta línea desaparece</t>
  </si>
  <si>
    <t>Mantención de las integraciones</t>
  </si>
  <si>
    <t>Desde mes 4</t>
  </si>
  <si>
    <t>Sobre el costo de las dos integraciones. Año 1: 9 meses</t>
  </si>
  <si>
    <t>LE2</t>
  </si>
  <si>
    <t>Diseño de la regla acumulativa (Punto de Ebullición)</t>
  </si>
  <si>
    <t>Mediano · mes 5</t>
  </si>
  <si>
    <t>Qué eventos suman, cuánto pesa cada uno y dónde está el umbral</t>
  </si>
  <si>
    <t>Implementación de reglas y alertas en el tablero</t>
  </si>
  <si>
    <t>Mediano · mes 5–6</t>
  </si>
  <si>
    <t>Opera sobre B2: sin tablero, la regla no tiene dónde verse</t>
  </si>
  <si>
    <t>Calibración del umbral con el historial del piloto</t>
  </si>
  <si>
    <t>Mediano · mes 7–8</t>
  </si>
  <si>
    <t>Requiere al menos cuatro meses de pedidos registrados</t>
  </si>
  <si>
    <t>LE4</t>
  </si>
  <si>
    <t>Diseño de la plantilla homologada de terceros</t>
  </si>
  <si>
    <t>Fase 0 · sem 2–6</t>
  </si>
  <si>
    <t>Formato mínimo: id de punto, RUT, fecha, producto, cantidad</t>
  </si>
  <si>
    <t>Consolidación mensual de envíos de terceros</t>
  </si>
  <si>
    <t>8 horas al mes para 840 puntos operados por terceros</t>
  </si>
  <si>
    <t>MED</t>
  </si>
  <si>
    <t>Diseño del piloto y del grupo de comparación</t>
  </si>
  <si>
    <t>Línea base y criterios de escalar, corregir o detener</t>
  </si>
  <si>
    <t>SUBTOTAL</t>
  </si>
  <si>
    <t>CONTINGENCIA</t>
  </si>
  <si>
    <t>TOTAL</t>
  </si>
  <si>
    <t>RECURSOS INTERNOS · no se imputan al presupuesto  [C] §3.6 del caso</t>
  </si>
  <si>
    <t>Sponsor ejecutivo</t>
  </si>
  <si>
    <t>10% de dedicación</t>
  </si>
  <si>
    <t>Líder de proyecto de marketing</t>
  </si>
  <si>
    <t>50% de dedicación</t>
  </si>
  <si>
    <t>Responsable comercial B2B</t>
  </si>
  <si>
    <t>100% de dedicación</t>
  </si>
  <si>
    <t>Analista de datos</t>
  </si>
  <si>
    <t>NO COSTEADO · se declara, no se estima</t>
  </si>
  <si>
    <t>Gestión del cambio y capacitación</t>
  </si>
  <si>
    <t>El caso exige financiarla. No hay tarifa de referencia verificada.</t>
  </si>
  <si>
    <t>Investigación primaria con decisores</t>
  </si>
  <si>
    <t>Se asume ejecutada por el equipo interno.</t>
  </si>
  <si>
    <t>Asesoría legal: cláusula de datos con terceros</t>
  </si>
  <si>
    <t>Ley 21.719. Sin tarifa de referencia verificada.</t>
  </si>
  <si>
    <t>Diferencial agencia vs. freelance</t>
  </si>
  <si>
    <t>Este costeo usa tarifa freelance: es un piso, no un techo.</t>
  </si>
  <si>
    <t>Resumen del costeo</t>
  </si>
  <si>
    <t>Inversión inicial y costo recurrente por bloque. Todo se calcula desde Costeo.</t>
  </si>
  <si>
    <t>Qué es</t>
  </si>
  <si>
    <t>Inversión inicial</t>
  </si>
  <si>
    <t>Recurrente año 1</t>
  </si>
  <si>
    <t>Total año 1</t>
  </si>
  <si>
    <t>Recurrente año 2</t>
  </si>
  <si>
    <t>% del año 1</t>
  </si>
  <si>
    <t>Identidad de punto</t>
  </si>
  <si>
    <t>Tablero centralizado</t>
  </si>
  <si>
    <t>Instrumentar la reposición</t>
  </si>
  <si>
    <t>Anticipar por acumulación</t>
  </si>
  <si>
    <t>Dato con terceros</t>
  </si>
  <si>
    <t>Medición del piloto</t>
  </si>
  <si>
    <t>CONTRA EL PRESUPUESTO</t>
  </si>
  <si>
    <t>Costeo de abajo hacia arriba · año 1</t>
  </si>
  <si>
    <t>Presupuesto comprometido en el informe</t>
  </si>
  <si>
    <t>Holgura del comprometido sobre el costeo</t>
  </si>
  <si>
    <t>El comprometido equivale a</t>
  </si>
  <si>
    <t>Costeo como % del presupuesto del caso</t>
  </si>
  <si>
    <t>Comprometido como % del presupuesto del caso</t>
  </si>
  <si>
    <t>La holgura cubre lo que no se pudo costear con fuente: gestión del cambio, capacitación, asesoría legal y el diferencial de tarifa entre agencia y freelance.</t>
  </si>
  <si>
    <t>Punto de equilibrio</t>
  </si>
  <si>
    <t>Cuánto margen tiene que dejar al mes cada punto Horeca que se deja de perder, para que el plan se pague. No requiere conocer las ventas de Marley.</t>
  </si>
  <si>
    <t>PUNTOS RECUPERADOS</t>
  </si>
  <si>
    <t>Retención actual</t>
  </si>
  <si>
    <t>Retención meta</t>
  </si>
  <si>
    <t>Puntos-año recuperados · año 1</t>
  </si>
  <si>
    <t>Puntos-año recuperados · año 2</t>
  </si>
  <si>
    <t>Puntos-año recuperados · 24 meses</t>
  </si>
  <si>
    <t>Año 2 suma los puntos salvados en el año 1, que siguen comprando, más medio año de los que se salvan en el año 2.</t>
  </si>
  <si>
    <t>COSTO DEL PLAN</t>
  </si>
  <si>
    <t>Costeo (piso)</t>
  </si>
  <si>
    <t>Comprometido (informe)</t>
  </si>
  <si>
    <t>Costo a 12 meses</t>
  </si>
  <si>
    <t>Costo a 24 meses</t>
  </si>
  <si>
    <t>MARGEN MÍNIMO MENSUAL POR PUNTO RECUPERADO</t>
  </si>
  <si>
    <t>Escenario</t>
  </si>
  <si>
    <t>A 12 meses · la mejora opera de forma gradual</t>
  </si>
  <si>
    <t>A 12 meses · la mejora opera desde el día uno</t>
  </si>
  <si>
    <t>A 24 meses · la mejora opera de forma gradual</t>
  </si>
  <si>
    <t>Lectura: para que el plan se pague, cada punto Horeca que se deja de perder debe dejar al menos ese margen de contribución al mes. La fila de 24 meses es la que corresponde a una inversión en capacidad, porque el costo inicial se paga una sola vez.</t>
  </si>
  <si>
    <t>LA PREGUNTA PARA MARLEY</t>
  </si>
  <si>
    <t>Margen de contribución mensual promedio de un punto Horeca</t>
  </si>
  <si>
    <t>← completar con el dato del ERP</t>
  </si>
  <si>
    <t>Con el presupuesto comprometido, a 24 meses el plan…</t>
  </si>
  <si>
    <t>Con el presupuesto comprometido, a 12 meses el plan…</t>
  </si>
  <si>
    <t>El dato vive en el ERP de Marley y el caso no lo entrega. Convertir la incógnita en una sola pregunta es el aporte de esta hoja: responde en minutos si el plan se justifica.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</si>
</sst>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quot;x&quot;"/>
  </numFmts>
  <fonts count="15" x14ac:knownFonts="1">
    <font>
      <sz val="11"/>
      <color theme="1"/>
      <name val="Calibri"/>
      <family val="2"/>
      <scheme val="minor"/>
    </font>
    <font>
      <b/>
      <sz val="15"/>
      <color rgb="FF2E5E1E"/>
      <name val="Arial"/>
    </font>
    <font>
      <i/>
      <sz val="10"/>
      <color rgb="FF5A5A5A"/>
      <name val="Arial"/>
    </font>
    <font>
      <b/>
      <sz val="10"/>
      <name val="Arial"/>
    </font>
    <font>
      <sz val="10"/>
      <color rgb="FF000000"/>
      <name val="Arial"/>
    </font>
    <font>
      <b/>
      <sz val="10"/>
      <color rgb="FF2E5E1E"/>
      <name val="Arial"/>
    </font>
    <font>
      <b/>
      <sz val="10"/>
      <color rgb="FF0000FF"/>
      <name val="Arial"/>
    </font>
    <font>
      <b/>
      <sz val="10"/>
      <color rgb="FF000000"/>
      <name val="Arial"/>
    </font>
    <font>
      <b/>
      <sz val="10"/>
      <color rgb="FF008000"/>
      <name val="Arial"/>
    </font>
    <font>
      <b/>
      <sz val="10"/>
      <color rgb="FFFFFFFF"/>
      <name val="Arial"/>
    </font>
    <font>
      <sz val="10"/>
      <color rgb="FF0000FF"/>
      <name val="Arial"/>
    </font>
    <font>
      <sz val="9"/>
      <color rgb="FF5A5A5A"/>
      <name val="Arial"/>
    </font>
    <font>
      <sz val="10"/>
      <color rgb="FF008000"/>
      <name val="Arial"/>
    </font>
    <font>
      <b/>
      <sz val="11"/>
      <name val="Arial"/>
    </font>
    <font>
      <sz val="10"/>
      <name val="Arial"/>
    </font>
  </fonts>
  <fills count="6">
    <fill>
      <patternFill patternType="none"/>
    </fill>
    <fill>
      <patternFill patternType="gray125"/>
    </fill>
    <fill>
      <patternFill patternType="solid">
        <fgColor rgb="FFFFFF00"/>
      </patternFill>
    </fill>
    <fill>
      <patternFill patternType="solid">
        <fgColor rgb="FF2E5E1E"/>
      </patternFill>
    </fill>
    <fill>
      <patternFill patternType="solid">
        <fgColor rgb="FFEAF0E4"/>
      </patternFill>
    </fill>
    <fill>
      <patternFill patternType="solid">
        <fgColor rgb="FFD9E6CC"/>
      </patternFill>
    </fill>
  </fills>
  <borders count="2">
    <border>
      <left/>
      <right/>
      <top/>
      <bottom/>
      <diagonal/>
    </border>
    <border>
      <left/>
      <right/>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3" fillId="2" borderId="0" xfId="0" applyFont="1" applyFill="1"/>
    <xf numFmtId="0" fontId="9" fillId="3" borderId="0" xfId="0" applyFont="1" applyFill="1" applyAlignment="1">
      <alignment vertical="center" wrapText="1"/>
    </xf>
    <xf numFmtId="0" fontId="5" fillId="4" borderId="0" xfId="0" applyFont="1" applyFill="1"/>
    <xf numFmtId="0" fontId="0" fillId="4" borderId="0" xfId="0" applyFill="1"/>
    <xf numFmtId="0" fontId="4" fillId="0" borderId="1" xfId="0" applyFont="1" applyBorder="1"/>
    <xf numFmtId="164" fontId="10" fillId="0" borderId="1" xfId="0" applyNumberFormat="1" applyFont="1" applyBorder="1"/>
    <xf numFmtId="0" fontId="11" fillId="0" borderId="1" xfId="0" applyFont="1" applyBorder="1"/>
    <xf numFmtId="0" fontId="11" fillId="0" borderId="1" xfId="0" applyFont="1" applyBorder="1" applyAlignment="1">
      <alignment vertical="top" wrapText="1"/>
    </xf>
    <xf numFmtId="164" fontId="10" fillId="2" borderId="1" xfId="0" applyNumberFormat="1" applyFont="1" applyFill="1" applyBorder="1"/>
    <xf numFmtId="165" fontId="10" fillId="0" borderId="1" xfId="0" applyNumberFormat="1" applyFont="1" applyBorder="1"/>
    <xf numFmtId="166" fontId="10" fillId="0" borderId="1" xfId="0" applyNumberFormat="1" applyFont="1" applyBorder="1"/>
    <xf numFmtId="3" fontId="10" fillId="0" borderId="1" xfId="0" applyNumberFormat="1" applyFont="1" applyBorder="1"/>
    <xf numFmtId="4" fontId="10" fillId="0" borderId="1" xfId="0" applyNumberFormat="1" applyFont="1" applyBorder="1"/>
    <xf numFmtId="3" fontId="4" fillId="0" borderId="1" xfId="0" applyNumberFormat="1" applyFont="1" applyBorder="1"/>
    <xf numFmtId="3" fontId="10" fillId="2" borderId="1" xfId="0" applyNumberFormat="1" applyFont="1" applyFill="1" applyBorder="1"/>
    <xf numFmtId="2" fontId="10" fillId="2" borderId="1" xfId="0" applyNumberFormat="1" applyFont="1" applyFill="1" applyBorder="1"/>
    <xf numFmtId="165" fontId="10" fillId="2" borderId="1" xfId="0" applyNumberFormat="1" applyFont="1" applyFill="1" applyBorder="1"/>
    <xf numFmtId="0" fontId="3" fillId="0" borderId="1" xfId="0" applyFont="1" applyBorder="1"/>
    <xf numFmtId="164" fontId="12" fillId="0" borderId="1" xfId="0" applyNumberFormat="1" applyFont="1" applyBorder="1"/>
    <xf numFmtId="164" fontId="4" fillId="0" borderId="1" xfId="0" applyNumberFormat="1" applyFont="1" applyBorder="1"/>
    <xf numFmtId="0" fontId="3" fillId="5" borderId="0" xfId="0" applyFont="1" applyFill="1"/>
    <xf numFmtId="0" fontId="0" fillId="5" borderId="0" xfId="0" applyFill="1"/>
    <xf numFmtId="164" fontId="3" fillId="5" borderId="0" xfId="0" applyNumberFormat="1" applyFont="1" applyFill="1"/>
    <xf numFmtId="165" fontId="12" fillId="5" borderId="0" xfId="0" applyNumberFormat="1" applyFont="1" applyFill="1"/>
    <xf numFmtId="0" fontId="13" fillId="5" borderId="0" xfId="0" applyFont="1" applyFill="1"/>
    <xf numFmtId="164" fontId="13" fillId="5" borderId="0" xfId="0" applyNumberFormat="1" applyFont="1" applyFill="1"/>
    <xf numFmtId="0" fontId="4" fillId="0" borderId="0" xfId="0" applyFont="1"/>
    <xf numFmtId="0" fontId="11" fillId="0" borderId="0" xfId="0" applyFont="1"/>
    <xf numFmtId="165" fontId="0" fillId="0" borderId="1" xfId="0" applyNumberFormat="1" applyBorder="1"/>
    <xf numFmtId="165" fontId="3" fillId="5" borderId="0" xfId="0" applyNumberFormat="1" applyFont="1" applyFill="1"/>
    <xf numFmtId="165" fontId="13" fillId="5" borderId="0" xfId="0" applyNumberFormat="1" applyFont="1" applyFill="1"/>
    <xf numFmtId="164" fontId="14" fillId="0" borderId="0" xfId="0" applyNumberFormat="1" applyFont="1"/>
    <xf numFmtId="164" fontId="12" fillId="0" borderId="0" xfId="0" applyNumberFormat="1" applyFont="1"/>
    <xf numFmtId="164" fontId="3" fillId="0" borderId="0" xfId="0" applyNumberFormat="1" applyFont="1"/>
    <xf numFmtId="167" fontId="3" fillId="0" borderId="0" xfId="0" applyNumberFormat="1" applyFont="1"/>
    <xf numFmtId="165" fontId="14" fillId="0" borderId="0" xfId="0" applyNumberFormat="1" applyFont="1"/>
    <xf numFmtId="3" fontId="12" fillId="0" borderId="0" xfId="0" applyNumberFormat="1" applyFont="1"/>
    <xf numFmtId="165" fontId="12" fillId="0" borderId="0" xfId="0" applyNumberFormat="1" applyFont="1"/>
    <xf numFmtId="2" fontId="12" fillId="0" borderId="0" xfId="0" applyNumberFormat="1" applyFont="1"/>
    <xf numFmtId="166" fontId="4" fillId="0" borderId="0" xfId="0" applyNumberFormat="1" applyFont="1"/>
    <xf numFmtId="164" fontId="4" fillId="0" borderId="0" xfId="0" applyNumberFormat="1" applyFont="1"/>
    <xf numFmtId="0" fontId="4" fillId="5" borderId="0" xfId="0" applyFont="1" applyFill="1"/>
    <xf numFmtId="164" fontId="10" fillId="2" borderId="0" xfId="0" applyNumberFormat="1" applyFont="1" applyFill="1"/>
    <xf numFmtId="0" fontId="1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tabSelected="1" workbookViewId="0"/>
  </sheetViews>
  <sheetFormatPr baseColWidth="10" defaultColWidth="9.140625" defaultRowHeight="15" x14ac:dyDescent="0.25"/>
  <cols>
    <col min="1" max="1" width="22" customWidth="1"/>
    <col min="2" max="2" width="100" customWidth="1"/>
  </cols>
  <sheetData>
    <row r="1" spans="1:2" ht="19.5" x14ac:dyDescent="0.3">
      <c r="A1" s="1" t="s">
        <v>0</v>
      </c>
    </row>
    <row r="2" spans="1:2" x14ac:dyDescent="0.25">
      <c r="A2" s="2" t="s">
        <v>1</v>
      </c>
    </row>
    <row r="4" spans="1:2" x14ac:dyDescent="0.25">
      <c r="A4" s="3"/>
      <c r="B4" s="4"/>
    </row>
    <row r="5" spans="1:2" x14ac:dyDescent="0.25">
      <c r="A5" s="5" t="s">
        <v>2</v>
      </c>
    </row>
    <row r="6" spans="1:2" x14ac:dyDescent="0.25">
      <c r="A6" s="3" t="s">
        <v>3</v>
      </c>
      <c r="B6" s="4" t="s">
        <v>4</v>
      </c>
    </row>
    <row r="7" spans="1:2" x14ac:dyDescent="0.25">
      <c r="A7" s="3" t="s">
        <v>5</v>
      </c>
      <c r="B7" s="4" t="s">
        <v>6</v>
      </c>
    </row>
    <row r="8" spans="1:2" x14ac:dyDescent="0.25">
      <c r="A8" s="3" t="s">
        <v>7</v>
      </c>
      <c r="B8" s="4" t="s">
        <v>8</v>
      </c>
    </row>
    <row r="9" spans="1:2" x14ac:dyDescent="0.25">
      <c r="A9" s="3" t="s">
        <v>9</v>
      </c>
      <c r="B9" s="4" t="s">
        <v>10</v>
      </c>
    </row>
    <row r="10" spans="1:2" x14ac:dyDescent="0.25">
      <c r="A10" s="3"/>
      <c r="B10" s="4"/>
    </row>
    <row r="11" spans="1:2" x14ac:dyDescent="0.25">
      <c r="A11" s="5" t="s">
        <v>11</v>
      </c>
    </row>
    <row r="12" spans="1:2" x14ac:dyDescent="0.25">
      <c r="A12" s="6" t="s">
        <v>12</v>
      </c>
      <c r="B12" s="4" t="s">
        <v>13</v>
      </c>
    </row>
    <row r="13" spans="1:2" x14ac:dyDescent="0.25">
      <c r="A13" s="7" t="s">
        <v>14</v>
      </c>
      <c r="B13" s="4" t="s">
        <v>15</v>
      </c>
    </row>
    <row r="14" spans="1:2" x14ac:dyDescent="0.25">
      <c r="A14" s="8" t="s">
        <v>16</v>
      </c>
      <c r="B14" s="4" t="s">
        <v>17</v>
      </c>
    </row>
    <row r="15" spans="1:2" x14ac:dyDescent="0.25">
      <c r="A15" s="9" t="s">
        <v>18</v>
      </c>
      <c r="B15" s="4" t="s">
        <v>19</v>
      </c>
    </row>
    <row r="16" spans="1:2" x14ac:dyDescent="0.25">
      <c r="A16" s="3"/>
      <c r="B16" s="4"/>
    </row>
    <row r="17" spans="1:2" x14ac:dyDescent="0.25">
      <c r="A17" s="5" t="s">
        <v>20</v>
      </c>
    </row>
    <row r="18" spans="1:2" x14ac:dyDescent="0.25">
      <c r="A18" s="3" t="s">
        <v>21</v>
      </c>
      <c r="B18" s="4" t="s">
        <v>22</v>
      </c>
    </row>
    <row r="19" spans="1:2" x14ac:dyDescent="0.25">
      <c r="A19" s="3" t="s">
        <v>23</v>
      </c>
      <c r="B19" s="4" t="s">
        <v>24</v>
      </c>
    </row>
    <row r="20" spans="1:2" x14ac:dyDescent="0.25">
      <c r="A20" s="3" t="s">
        <v>25</v>
      </c>
      <c r="B20" s="4" t="s">
        <v>26</v>
      </c>
    </row>
    <row r="21" spans="1:2" x14ac:dyDescent="0.25">
      <c r="A21" s="3" t="s">
        <v>27</v>
      </c>
      <c r="B21" s="4" t="s">
        <v>28</v>
      </c>
    </row>
    <row r="22" spans="1:2" x14ac:dyDescent="0.25">
      <c r="A22" s="3"/>
      <c r="B22" s="4"/>
    </row>
    <row r="23" spans="1:2" x14ac:dyDescent="0.25">
      <c r="A23" s="5" t="s">
        <v>29</v>
      </c>
    </row>
    <row r="24" spans="1:2" ht="25.5" x14ac:dyDescent="0.25">
      <c r="A24" s="3" t="s">
        <v>30</v>
      </c>
      <c r="B24" s="4" t="s">
        <v>31</v>
      </c>
    </row>
    <row r="25" spans="1:2" x14ac:dyDescent="0.25">
      <c r="A25" s="3" t="s">
        <v>32</v>
      </c>
      <c r="B25" s="4"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workbookViewId="0"/>
  </sheetViews>
  <sheetFormatPr baseColWidth="10" defaultColWidth="9.140625" defaultRowHeight="15" x14ac:dyDescent="0.25"/>
  <cols>
    <col min="1" max="1" width="42" customWidth="1"/>
    <col min="2" max="2" width="16" customWidth="1"/>
    <col min="3" max="3" width="20" customWidth="1"/>
    <col min="4" max="4" width="78" customWidth="1"/>
  </cols>
  <sheetData>
    <row r="1" spans="1:4" ht="19.5" x14ac:dyDescent="0.3">
      <c r="A1" s="1" t="s">
        <v>3</v>
      </c>
    </row>
    <row r="2" spans="1:4" x14ac:dyDescent="0.25">
      <c r="A2" s="2" t="s">
        <v>34</v>
      </c>
    </row>
    <row r="4" spans="1:4" x14ac:dyDescent="0.25">
      <c r="A4" s="10" t="s">
        <v>35</v>
      </c>
      <c r="B4" s="10" t="s">
        <v>36</v>
      </c>
      <c r="C4" s="10" t="s">
        <v>37</v>
      </c>
      <c r="D4" s="10" t="s">
        <v>38</v>
      </c>
    </row>
    <row r="5" spans="1:4" x14ac:dyDescent="0.25">
      <c r="A5" s="11" t="s">
        <v>39</v>
      </c>
      <c r="B5" s="12"/>
      <c r="C5" s="12"/>
      <c r="D5" s="12"/>
    </row>
    <row r="6" spans="1:4" x14ac:dyDescent="0.25">
      <c r="A6" s="13" t="s">
        <v>40</v>
      </c>
      <c r="B6" s="14">
        <v>30000</v>
      </c>
      <c r="C6" s="15" t="s">
        <v>41</v>
      </c>
      <c r="D6" s="16" t="s">
        <v>42</v>
      </c>
    </row>
    <row r="7" spans="1:4" x14ac:dyDescent="0.25">
      <c r="A7" s="13" t="s">
        <v>43</v>
      </c>
      <c r="B7" s="17">
        <v>45000</v>
      </c>
      <c r="C7" s="15" t="s">
        <v>41</v>
      </c>
      <c r="D7" s="16" t="s">
        <v>44</v>
      </c>
    </row>
    <row r="8" spans="1:4" x14ac:dyDescent="0.25">
      <c r="A8" s="13" t="s">
        <v>45</v>
      </c>
      <c r="B8" s="14">
        <v>65000</v>
      </c>
      <c r="C8" s="15" t="s">
        <v>41</v>
      </c>
      <c r="D8" s="16" t="s">
        <v>46</v>
      </c>
    </row>
    <row r="9" spans="1:4" x14ac:dyDescent="0.25">
      <c r="A9" s="13" t="s">
        <v>47</v>
      </c>
      <c r="B9" s="18">
        <v>0.17499999999999999</v>
      </c>
      <c r="C9" s="15" t="s">
        <v>48</v>
      </c>
      <c r="D9" s="16" t="s">
        <v>49</v>
      </c>
    </row>
    <row r="10" spans="1:4" x14ac:dyDescent="0.25">
      <c r="A10" s="11" t="s">
        <v>50</v>
      </c>
      <c r="B10" s="12"/>
      <c r="C10" s="12"/>
      <c r="D10" s="12"/>
    </row>
    <row r="11" spans="1:4" x14ac:dyDescent="0.25">
      <c r="A11" s="13" t="s">
        <v>51</v>
      </c>
      <c r="B11" s="14">
        <v>26100</v>
      </c>
      <c r="C11" s="15" t="s">
        <v>52</v>
      </c>
      <c r="D11" s="16" t="s">
        <v>53</v>
      </c>
    </row>
    <row r="12" spans="1:4" x14ac:dyDescent="0.25">
      <c r="A12" s="13" t="s">
        <v>54</v>
      </c>
      <c r="B12" s="19">
        <v>8.1</v>
      </c>
      <c r="C12" s="15" t="s">
        <v>55</v>
      </c>
      <c r="D12" s="16" t="s">
        <v>56</v>
      </c>
    </row>
    <row r="13" spans="1:4" x14ac:dyDescent="0.25">
      <c r="A13" s="13" t="s">
        <v>57</v>
      </c>
      <c r="B13" s="14">
        <v>0</v>
      </c>
      <c r="C13" s="15" t="s">
        <v>55</v>
      </c>
      <c r="D13" s="16" t="s">
        <v>58</v>
      </c>
    </row>
    <row r="14" spans="1:4" x14ac:dyDescent="0.25">
      <c r="A14" s="13" t="s">
        <v>59</v>
      </c>
      <c r="B14" s="20">
        <v>20</v>
      </c>
      <c r="C14" s="15" t="s">
        <v>60</v>
      </c>
      <c r="D14" s="16" t="s">
        <v>61</v>
      </c>
    </row>
    <row r="15" spans="1:4" x14ac:dyDescent="0.25">
      <c r="A15" s="13" t="s">
        <v>62</v>
      </c>
      <c r="B15" s="20">
        <v>5</v>
      </c>
      <c r="C15" s="15" t="s">
        <v>63</v>
      </c>
      <c r="D15" s="16" t="s">
        <v>64</v>
      </c>
    </row>
    <row r="16" spans="1:4" x14ac:dyDescent="0.25">
      <c r="A16" s="13" t="s">
        <v>65</v>
      </c>
      <c r="B16" s="14">
        <v>0</v>
      </c>
      <c r="C16" s="15" t="s">
        <v>52</v>
      </c>
      <c r="D16" s="16" t="s">
        <v>66</v>
      </c>
    </row>
    <row r="17" spans="1:4" x14ac:dyDescent="0.25">
      <c r="A17" s="11" t="s">
        <v>67</v>
      </c>
      <c r="B17" s="12"/>
      <c r="C17" s="12"/>
      <c r="D17" s="12"/>
    </row>
    <row r="18" spans="1:4" x14ac:dyDescent="0.25">
      <c r="A18" s="13" t="s">
        <v>68</v>
      </c>
      <c r="B18" s="21">
        <v>925.65</v>
      </c>
      <c r="C18" s="15" t="s">
        <v>69</v>
      </c>
      <c r="D18" s="16" t="s">
        <v>70</v>
      </c>
    </row>
    <row r="19" spans="1:4" x14ac:dyDescent="0.25">
      <c r="A19" s="11" t="s">
        <v>71</v>
      </c>
      <c r="B19" s="12"/>
      <c r="C19" s="12"/>
      <c r="D19" s="12"/>
    </row>
    <row r="20" spans="1:4" x14ac:dyDescent="0.25">
      <c r="A20" s="13" t="s">
        <v>72</v>
      </c>
      <c r="B20" s="20">
        <v>1150</v>
      </c>
      <c r="C20" s="15" t="s">
        <v>73</v>
      </c>
      <c r="D20" s="16" t="s">
        <v>74</v>
      </c>
    </row>
    <row r="21" spans="1:4" x14ac:dyDescent="0.25">
      <c r="A21" s="13" t="s">
        <v>75</v>
      </c>
      <c r="B21" s="18">
        <v>0.4</v>
      </c>
      <c r="C21" s="15" t="s">
        <v>76</v>
      </c>
      <c r="D21" s="16" t="s">
        <v>77</v>
      </c>
    </row>
    <row r="22" spans="1:4" x14ac:dyDescent="0.25">
      <c r="A22" s="13" t="s">
        <v>78</v>
      </c>
      <c r="B22" s="22">
        <f>ROUND(B20*B21,0)</f>
        <v>460</v>
      </c>
      <c r="C22" s="15" t="s">
        <v>73</v>
      </c>
      <c r="D22" s="16" t="s">
        <v>79</v>
      </c>
    </row>
    <row r="23" spans="1:4" x14ac:dyDescent="0.25">
      <c r="A23" s="13" t="s">
        <v>80</v>
      </c>
      <c r="B23" s="23">
        <v>12</v>
      </c>
      <c r="C23" s="15" t="s">
        <v>81</v>
      </c>
      <c r="D23" s="16" t="s">
        <v>82</v>
      </c>
    </row>
    <row r="24" spans="1:4" x14ac:dyDescent="0.25">
      <c r="A24" s="13" t="s">
        <v>83</v>
      </c>
      <c r="B24" s="20">
        <v>3</v>
      </c>
      <c r="C24" s="15" t="s">
        <v>84</v>
      </c>
      <c r="D24" s="16" t="s">
        <v>85</v>
      </c>
    </row>
    <row r="25" spans="1:4" x14ac:dyDescent="0.25">
      <c r="A25" s="11" t="s">
        <v>86</v>
      </c>
      <c r="B25" s="12"/>
      <c r="C25" s="12"/>
      <c r="D25" s="12"/>
    </row>
    <row r="26" spans="1:4" x14ac:dyDescent="0.25">
      <c r="A26" s="13" t="s">
        <v>87</v>
      </c>
      <c r="B26" s="18">
        <v>0.86</v>
      </c>
      <c r="C26" s="15" t="s">
        <v>88</v>
      </c>
      <c r="D26" s="16" t="s">
        <v>89</v>
      </c>
    </row>
    <row r="27" spans="1:4" x14ac:dyDescent="0.25">
      <c r="A27" s="13" t="s">
        <v>90</v>
      </c>
      <c r="B27" s="18">
        <v>0.9</v>
      </c>
      <c r="C27" s="15" t="s">
        <v>88</v>
      </c>
      <c r="D27" s="16" t="s">
        <v>77</v>
      </c>
    </row>
    <row r="28" spans="1:4" x14ac:dyDescent="0.25">
      <c r="A28" s="13" t="s">
        <v>91</v>
      </c>
      <c r="B28" s="22">
        <f>ROUND(B20*(B27-B26),0)</f>
        <v>46</v>
      </c>
      <c r="C28" s="15" t="s">
        <v>92</v>
      </c>
      <c r="D28" s="16" t="s">
        <v>93</v>
      </c>
    </row>
    <row r="29" spans="1:4" x14ac:dyDescent="0.25">
      <c r="A29" s="13" t="s">
        <v>94</v>
      </c>
      <c r="B29" s="24">
        <v>0.5</v>
      </c>
      <c r="C29" s="15" t="s">
        <v>95</v>
      </c>
      <c r="D29" s="16" t="s">
        <v>96</v>
      </c>
    </row>
    <row r="30" spans="1:4" x14ac:dyDescent="0.25">
      <c r="A30" s="11" t="s">
        <v>97</v>
      </c>
      <c r="B30" s="12"/>
      <c r="C30" s="12"/>
      <c r="D30" s="12"/>
    </row>
    <row r="31" spans="1:4" x14ac:dyDescent="0.25">
      <c r="A31" s="13" t="s">
        <v>98</v>
      </c>
      <c r="B31" s="25">
        <v>0.1</v>
      </c>
      <c r="C31" s="15" t="s">
        <v>99</v>
      </c>
      <c r="D31" s="16" t="s">
        <v>100</v>
      </c>
    </row>
    <row r="32" spans="1:4" x14ac:dyDescent="0.25">
      <c r="A32" s="13" t="s">
        <v>101</v>
      </c>
      <c r="B32" s="14">
        <v>220000000</v>
      </c>
      <c r="C32" s="15" t="s">
        <v>102</v>
      </c>
      <c r="D32" s="16" t="s">
        <v>103</v>
      </c>
    </row>
    <row r="33" spans="1:4" x14ac:dyDescent="0.25">
      <c r="A33" s="13" t="s">
        <v>104</v>
      </c>
      <c r="B33" s="14">
        <v>83600000</v>
      </c>
      <c r="C33" s="15" t="s">
        <v>102</v>
      </c>
      <c r="D33" s="16" t="s">
        <v>105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showGridLines="0" workbookViewId="0">
      <pane xSplit="2" ySplit="4" topLeftCell="C5" activePane="bottomRight" state="frozen"/>
      <selection pane="topRight"/>
      <selection pane="bottomLeft"/>
      <selection pane="bottomRight"/>
    </sheetView>
  </sheetViews>
  <sheetFormatPr baseColWidth="10" defaultColWidth="9.140625" defaultRowHeight="15" x14ac:dyDescent="0.25"/>
  <cols>
    <col min="1" max="1" width="8" customWidth="1"/>
    <col min="2" max="2" width="46" customWidth="1"/>
    <col min="3" max="3" width="11" customWidth="1"/>
    <col min="4" max="4" width="12" customWidth="1"/>
    <col min="5" max="5" width="16" customWidth="1"/>
    <col min="6" max="7" width="17" customWidth="1"/>
    <col min="8" max="8" width="12" customWidth="1"/>
    <col min="9" max="9" width="17" customWidth="1"/>
    <col min="10" max="10" width="52" customWidth="1"/>
  </cols>
  <sheetData>
    <row r="1" spans="1:10" ht="19.5" x14ac:dyDescent="0.3">
      <c r="A1" s="1" t="s">
        <v>106</v>
      </c>
    </row>
    <row r="2" spans="1:10" x14ac:dyDescent="0.25">
      <c r="A2" s="2" t="s">
        <v>107</v>
      </c>
    </row>
    <row r="4" spans="1:10" ht="25.5" x14ac:dyDescent="0.25">
      <c r="A4" s="10" t="s">
        <v>108</v>
      </c>
      <c r="B4" s="10" t="s">
        <v>109</v>
      </c>
      <c r="C4" s="10" t="s">
        <v>110</v>
      </c>
      <c r="D4" s="10" t="s">
        <v>37</v>
      </c>
      <c r="E4" s="10" t="s">
        <v>111</v>
      </c>
      <c r="F4" s="10" t="s">
        <v>112</v>
      </c>
      <c r="G4" s="10" t="s">
        <v>113</v>
      </c>
      <c r="H4" s="10" t="s">
        <v>114</v>
      </c>
      <c r="I4" s="10" t="s">
        <v>115</v>
      </c>
      <c r="J4" s="10" t="s">
        <v>116</v>
      </c>
    </row>
    <row r="5" spans="1:10" x14ac:dyDescent="0.25">
      <c r="A5" s="26" t="s">
        <v>117</v>
      </c>
      <c r="B5" s="13" t="s">
        <v>118</v>
      </c>
      <c r="C5" s="20">
        <v>80</v>
      </c>
      <c r="D5" s="15" t="s">
        <v>119</v>
      </c>
      <c r="E5" s="27">
        <f>Supuestos!$B$7</f>
        <v>45000</v>
      </c>
      <c r="F5" s="28">
        <f t="shared" ref="F5:F22" si="0">C5*E5</f>
        <v>3600000</v>
      </c>
      <c r="G5" s="14">
        <v>0</v>
      </c>
      <c r="H5" s="13" t="s">
        <v>120</v>
      </c>
      <c r="I5" s="15" t="s">
        <v>121</v>
      </c>
      <c r="J5" s="16" t="s">
        <v>122</v>
      </c>
    </row>
    <row r="6" spans="1:10" x14ac:dyDescent="0.25">
      <c r="A6" s="26" t="s">
        <v>123</v>
      </c>
      <c r="B6" s="13" t="s">
        <v>124</v>
      </c>
      <c r="C6" s="20">
        <v>60</v>
      </c>
      <c r="D6" s="15" t="s">
        <v>119</v>
      </c>
      <c r="E6" s="27">
        <f>Supuestos!$B$8</f>
        <v>65000</v>
      </c>
      <c r="F6" s="28">
        <f t="shared" si="0"/>
        <v>3900000</v>
      </c>
      <c r="G6" s="14">
        <v>0</v>
      </c>
      <c r="H6" s="13" t="s">
        <v>120</v>
      </c>
      <c r="I6" s="15" t="s">
        <v>125</v>
      </c>
      <c r="J6" s="16" t="s">
        <v>126</v>
      </c>
    </row>
    <row r="7" spans="1:10" x14ac:dyDescent="0.25">
      <c r="A7" s="26" t="s">
        <v>123</v>
      </c>
      <c r="B7" s="13" t="s">
        <v>127</v>
      </c>
      <c r="C7" s="20">
        <v>100</v>
      </c>
      <c r="D7" s="15" t="s">
        <v>119</v>
      </c>
      <c r="E7" s="27">
        <f>Supuestos!$B$7</f>
        <v>45000</v>
      </c>
      <c r="F7" s="28">
        <f t="shared" si="0"/>
        <v>4500000</v>
      </c>
      <c r="G7" s="14">
        <v>0</v>
      </c>
      <c r="H7" s="13" t="s">
        <v>120</v>
      </c>
      <c r="I7" s="15" t="s">
        <v>128</v>
      </c>
      <c r="J7" s="16" t="s">
        <v>129</v>
      </c>
    </row>
    <row r="8" spans="1:10" ht="24" x14ac:dyDescent="0.25">
      <c r="A8" s="26" t="s">
        <v>123</v>
      </c>
      <c r="B8" s="13" t="s">
        <v>65</v>
      </c>
      <c r="C8" s="20">
        <v>12</v>
      </c>
      <c r="D8" s="15" t="s">
        <v>130</v>
      </c>
      <c r="E8" s="27">
        <f>Supuestos!$B$16</f>
        <v>0</v>
      </c>
      <c r="F8" s="28">
        <f t="shared" si="0"/>
        <v>0</v>
      </c>
      <c r="G8" s="28">
        <f>12*E8</f>
        <v>0</v>
      </c>
      <c r="H8" s="13" t="s">
        <v>131</v>
      </c>
      <c r="I8" s="15" t="s">
        <v>132</v>
      </c>
      <c r="J8" s="16" t="s">
        <v>133</v>
      </c>
    </row>
    <row r="9" spans="1:10" ht="24" x14ac:dyDescent="0.25">
      <c r="A9" s="26" t="s">
        <v>134</v>
      </c>
      <c r="B9" s="13" t="s">
        <v>135</v>
      </c>
      <c r="C9" s="20">
        <v>60</v>
      </c>
      <c r="D9" s="15" t="s">
        <v>119</v>
      </c>
      <c r="E9" s="27">
        <f>Supuestos!$B$7</f>
        <v>45000</v>
      </c>
      <c r="F9" s="28">
        <f t="shared" si="0"/>
        <v>2700000</v>
      </c>
      <c r="G9" s="14">
        <v>0</v>
      </c>
      <c r="H9" s="13" t="s">
        <v>120</v>
      </c>
      <c r="I9" s="15" t="s">
        <v>136</v>
      </c>
      <c r="J9" s="16" t="s">
        <v>137</v>
      </c>
    </row>
    <row r="10" spans="1:10" ht="24" x14ac:dyDescent="0.25">
      <c r="A10" s="26" t="s">
        <v>134</v>
      </c>
      <c r="B10" s="13" t="s">
        <v>138</v>
      </c>
      <c r="C10" s="20">
        <v>120</v>
      </c>
      <c r="D10" s="15" t="s">
        <v>119</v>
      </c>
      <c r="E10" s="27">
        <f>Supuestos!$B$7</f>
        <v>45000</v>
      </c>
      <c r="F10" s="28">
        <f t="shared" si="0"/>
        <v>5400000</v>
      </c>
      <c r="G10" s="14">
        <v>0</v>
      </c>
      <c r="H10" s="13" t="s">
        <v>120</v>
      </c>
      <c r="I10" s="15" t="s">
        <v>139</v>
      </c>
      <c r="J10" s="16" t="s">
        <v>140</v>
      </c>
    </row>
    <row r="11" spans="1:10" x14ac:dyDescent="0.25">
      <c r="A11" s="26" t="s">
        <v>134</v>
      </c>
      <c r="B11" s="13" t="s">
        <v>141</v>
      </c>
      <c r="C11" s="20">
        <v>160</v>
      </c>
      <c r="D11" s="15" t="s">
        <v>119</v>
      </c>
      <c r="E11" s="27">
        <f>Supuestos!$B$8</f>
        <v>65000</v>
      </c>
      <c r="F11" s="28">
        <f t="shared" si="0"/>
        <v>10400000</v>
      </c>
      <c r="G11" s="14">
        <v>0</v>
      </c>
      <c r="H11" s="13" t="s">
        <v>120</v>
      </c>
      <c r="I11" s="15" t="s">
        <v>142</v>
      </c>
      <c r="J11" s="16" t="s">
        <v>143</v>
      </c>
    </row>
    <row r="12" spans="1:10" x14ac:dyDescent="0.25">
      <c r="A12" s="26" t="s">
        <v>134</v>
      </c>
      <c r="B12" s="13" t="s">
        <v>144</v>
      </c>
      <c r="C12" s="20">
        <v>80</v>
      </c>
      <c r="D12" s="15" t="s">
        <v>119</v>
      </c>
      <c r="E12" s="27">
        <f>Supuestos!$B$7</f>
        <v>45000</v>
      </c>
      <c r="F12" s="28">
        <f t="shared" si="0"/>
        <v>3600000</v>
      </c>
      <c r="G12" s="14">
        <v>0</v>
      </c>
      <c r="H12" s="13" t="s">
        <v>120</v>
      </c>
      <c r="I12" s="15" t="s">
        <v>145</v>
      </c>
      <c r="J12" s="16" t="s">
        <v>146</v>
      </c>
    </row>
    <row r="13" spans="1:10" x14ac:dyDescent="0.25">
      <c r="A13" s="26" t="s">
        <v>134</v>
      </c>
      <c r="B13" s="13" t="s">
        <v>51</v>
      </c>
      <c r="C13" s="20">
        <v>12</v>
      </c>
      <c r="D13" s="15" t="s">
        <v>130</v>
      </c>
      <c r="E13" s="27">
        <f>Supuestos!$B$11</f>
        <v>26100</v>
      </c>
      <c r="F13" s="28">
        <f t="shared" si="0"/>
        <v>313200</v>
      </c>
      <c r="G13" s="28">
        <f>12*E13</f>
        <v>313200</v>
      </c>
      <c r="H13" s="13" t="s">
        <v>131</v>
      </c>
      <c r="I13" s="15" t="s">
        <v>132</v>
      </c>
      <c r="J13" s="16" t="s">
        <v>147</v>
      </c>
    </row>
    <row r="14" spans="1:10" ht="24" x14ac:dyDescent="0.25">
      <c r="A14" s="26" t="s">
        <v>134</v>
      </c>
      <c r="B14" s="13" t="s">
        <v>148</v>
      </c>
      <c r="C14" s="22">
        <f>Supuestos!$B$22*Supuestos!$B$23*Supuestos!$B$24</f>
        <v>16560</v>
      </c>
      <c r="D14" s="15" t="s">
        <v>84</v>
      </c>
      <c r="E14" s="27">
        <f>Supuestos!$B$12</f>
        <v>8.1</v>
      </c>
      <c r="F14" s="28">
        <f t="shared" si="0"/>
        <v>134136</v>
      </c>
      <c r="G14" s="28">
        <f>C14*E14</f>
        <v>134136</v>
      </c>
      <c r="H14" s="13" t="s">
        <v>131</v>
      </c>
      <c r="I14" s="15" t="s">
        <v>132</v>
      </c>
      <c r="J14" s="16" t="s">
        <v>149</v>
      </c>
    </row>
    <row r="15" spans="1:10" x14ac:dyDescent="0.25">
      <c r="A15" s="26" t="s">
        <v>134</v>
      </c>
      <c r="B15" s="13" t="s">
        <v>150</v>
      </c>
      <c r="C15" s="22">
        <f>Supuestos!$B$15*12</f>
        <v>60</v>
      </c>
      <c r="D15" s="15" t="s">
        <v>151</v>
      </c>
      <c r="E15" s="27">
        <f>Supuestos!$B$14*Supuestos!$B$18</f>
        <v>18513</v>
      </c>
      <c r="F15" s="28">
        <f t="shared" si="0"/>
        <v>1110780</v>
      </c>
      <c r="G15" s="28">
        <f>C15*E15</f>
        <v>1110780</v>
      </c>
      <c r="H15" s="13" t="s">
        <v>131</v>
      </c>
      <c r="I15" s="15" t="s">
        <v>132</v>
      </c>
      <c r="J15" s="16" t="s">
        <v>152</v>
      </c>
    </row>
    <row r="16" spans="1:10" x14ac:dyDescent="0.25">
      <c r="A16" s="26" t="s">
        <v>134</v>
      </c>
      <c r="B16" s="13" t="s">
        <v>153</v>
      </c>
      <c r="C16" s="20">
        <v>9</v>
      </c>
      <c r="D16" s="15" t="s">
        <v>130</v>
      </c>
      <c r="E16" s="28">
        <f>(F10+F11)*Supuestos!$B$9/12</f>
        <v>230416.66666666666</v>
      </c>
      <c r="F16" s="28">
        <f t="shared" si="0"/>
        <v>2073750</v>
      </c>
      <c r="G16" s="28">
        <f>12*E16</f>
        <v>2765000</v>
      </c>
      <c r="H16" s="13" t="s">
        <v>131</v>
      </c>
      <c r="I16" s="15" t="s">
        <v>154</v>
      </c>
      <c r="J16" s="16" t="s">
        <v>155</v>
      </c>
    </row>
    <row r="17" spans="1:10" ht="24" x14ac:dyDescent="0.25">
      <c r="A17" s="26" t="s">
        <v>156</v>
      </c>
      <c r="B17" s="13" t="s">
        <v>157</v>
      </c>
      <c r="C17" s="20">
        <v>40</v>
      </c>
      <c r="D17" s="15" t="s">
        <v>119</v>
      </c>
      <c r="E17" s="27">
        <f>Supuestos!$B$8</f>
        <v>65000</v>
      </c>
      <c r="F17" s="28">
        <f t="shared" si="0"/>
        <v>2600000</v>
      </c>
      <c r="G17" s="14">
        <v>0</v>
      </c>
      <c r="H17" s="13" t="s">
        <v>120</v>
      </c>
      <c r="I17" s="15" t="s">
        <v>158</v>
      </c>
      <c r="J17" s="16" t="s">
        <v>159</v>
      </c>
    </row>
    <row r="18" spans="1:10" x14ac:dyDescent="0.25">
      <c r="A18" s="26" t="s">
        <v>156</v>
      </c>
      <c r="B18" s="13" t="s">
        <v>160</v>
      </c>
      <c r="C18" s="20">
        <v>80</v>
      </c>
      <c r="D18" s="15" t="s">
        <v>119</v>
      </c>
      <c r="E18" s="27">
        <f>Supuestos!$B$7</f>
        <v>45000</v>
      </c>
      <c r="F18" s="28">
        <f t="shared" si="0"/>
        <v>3600000</v>
      </c>
      <c r="G18" s="14">
        <v>0</v>
      </c>
      <c r="H18" s="13" t="s">
        <v>120</v>
      </c>
      <c r="I18" s="15" t="s">
        <v>161</v>
      </c>
      <c r="J18" s="16" t="s">
        <v>162</v>
      </c>
    </row>
    <row r="19" spans="1:10" x14ac:dyDescent="0.25">
      <c r="A19" s="26" t="s">
        <v>156</v>
      </c>
      <c r="B19" s="13" t="s">
        <v>163</v>
      </c>
      <c r="C19" s="20">
        <v>40</v>
      </c>
      <c r="D19" s="15" t="s">
        <v>119</v>
      </c>
      <c r="E19" s="27">
        <f>Supuestos!$B$8</f>
        <v>65000</v>
      </c>
      <c r="F19" s="28">
        <f t="shared" si="0"/>
        <v>2600000</v>
      </c>
      <c r="G19" s="14">
        <v>0</v>
      </c>
      <c r="H19" s="13" t="s">
        <v>120</v>
      </c>
      <c r="I19" s="15" t="s">
        <v>164</v>
      </c>
      <c r="J19" s="16" t="s">
        <v>165</v>
      </c>
    </row>
    <row r="20" spans="1:10" x14ac:dyDescent="0.25">
      <c r="A20" s="26" t="s">
        <v>166</v>
      </c>
      <c r="B20" s="13" t="s">
        <v>167</v>
      </c>
      <c r="C20" s="20">
        <v>24</v>
      </c>
      <c r="D20" s="15" t="s">
        <v>119</v>
      </c>
      <c r="E20" s="27">
        <f>Supuestos!$B$7</f>
        <v>45000</v>
      </c>
      <c r="F20" s="28">
        <f t="shared" si="0"/>
        <v>1080000</v>
      </c>
      <c r="G20" s="14">
        <v>0</v>
      </c>
      <c r="H20" s="13" t="s">
        <v>120</v>
      </c>
      <c r="I20" s="15" t="s">
        <v>168</v>
      </c>
      <c r="J20" s="16" t="s">
        <v>169</v>
      </c>
    </row>
    <row r="21" spans="1:10" x14ac:dyDescent="0.25">
      <c r="A21" s="26" t="s">
        <v>166</v>
      </c>
      <c r="B21" s="13" t="s">
        <v>170</v>
      </c>
      <c r="C21" s="22">
        <f>12*8</f>
        <v>96</v>
      </c>
      <c r="D21" s="15" t="s">
        <v>119</v>
      </c>
      <c r="E21" s="27">
        <f>Supuestos!$B$6</f>
        <v>30000</v>
      </c>
      <c r="F21" s="28">
        <f t="shared" si="0"/>
        <v>2880000</v>
      </c>
      <c r="G21" s="28">
        <f>C21*E21</f>
        <v>2880000</v>
      </c>
      <c r="H21" s="13" t="s">
        <v>131</v>
      </c>
      <c r="I21" s="15" t="s">
        <v>132</v>
      </c>
      <c r="J21" s="16" t="s">
        <v>171</v>
      </c>
    </row>
    <row r="22" spans="1:10" x14ac:dyDescent="0.25">
      <c r="A22" s="26" t="s">
        <v>172</v>
      </c>
      <c r="B22" s="13" t="s">
        <v>173</v>
      </c>
      <c r="C22" s="20">
        <v>40</v>
      </c>
      <c r="D22" s="15" t="s">
        <v>119</v>
      </c>
      <c r="E22" s="27">
        <f>Supuestos!$B$8</f>
        <v>65000</v>
      </c>
      <c r="F22" s="28">
        <f t="shared" si="0"/>
        <v>2600000</v>
      </c>
      <c r="G22" s="14">
        <v>0</v>
      </c>
      <c r="H22" s="13" t="s">
        <v>120</v>
      </c>
      <c r="I22" s="15" t="s">
        <v>125</v>
      </c>
      <c r="J22" s="16" t="s">
        <v>174</v>
      </c>
    </row>
    <row r="24" spans="1:10" x14ac:dyDescent="0.25">
      <c r="A24" s="29" t="s">
        <v>175</v>
      </c>
      <c r="B24" s="30"/>
      <c r="C24" s="30"/>
      <c r="D24" s="30"/>
      <c r="E24" s="30"/>
      <c r="F24" s="31">
        <f>SUM(F5:F22)</f>
        <v>53091866</v>
      </c>
      <c r="G24" s="31">
        <f>SUM(G5:G22)</f>
        <v>7203116</v>
      </c>
      <c r="H24" s="30"/>
      <c r="I24" s="30"/>
      <c r="J24" s="30"/>
    </row>
    <row r="25" spans="1:10" x14ac:dyDescent="0.25">
      <c r="A25" s="29" t="s">
        <v>176</v>
      </c>
      <c r="B25" s="30"/>
      <c r="C25" s="30"/>
      <c r="D25" s="30"/>
      <c r="E25" s="32">
        <f>Supuestos!$B$31</f>
        <v>0.1</v>
      </c>
      <c r="F25" s="31">
        <f>F24*E25</f>
        <v>5309186.6000000006</v>
      </c>
      <c r="G25" s="31">
        <f>G24*E25</f>
        <v>720311.60000000009</v>
      </c>
      <c r="H25" s="30"/>
      <c r="I25" s="30"/>
      <c r="J25" s="30"/>
    </row>
    <row r="26" spans="1:10" x14ac:dyDescent="0.25">
      <c r="A26" s="33" t="s">
        <v>177</v>
      </c>
      <c r="B26" s="30"/>
      <c r="C26" s="30"/>
      <c r="D26" s="30"/>
      <c r="E26" s="30"/>
      <c r="F26" s="34">
        <f>F24+F25</f>
        <v>58401052.600000001</v>
      </c>
      <c r="G26" s="34">
        <f>G24+G25</f>
        <v>7923427.5999999996</v>
      </c>
      <c r="H26" s="30"/>
      <c r="I26" s="30"/>
      <c r="J26" s="30"/>
    </row>
    <row r="28" spans="1:10" x14ac:dyDescent="0.25">
      <c r="A28" s="11" t="s">
        <v>178</v>
      </c>
      <c r="B28" s="12"/>
      <c r="C28" s="12"/>
      <c r="D28" s="12"/>
      <c r="E28" s="12"/>
      <c r="F28" s="12"/>
      <c r="G28" s="12"/>
      <c r="H28" s="12"/>
      <c r="I28" s="12"/>
      <c r="J28" s="12"/>
    </row>
    <row r="29" spans="1:10" x14ac:dyDescent="0.25">
      <c r="B29" s="35" t="s">
        <v>179</v>
      </c>
      <c r="C29" s="36" t="s">
        <v>180</v>
      </c>
    </row>
    <row r="30" spans="1:10" x14ac:dyDescent="0.25">
      <c r="B30" s="35" t="s">
        <v>181</v>
      </c>
      <c r="C30" s="36" t="s">
        <v>182</v>
      </c>
    </row>
    <row r="31" spans="1:10" x14ac:dyDescent="0.25">
      <c r="B31" s="35" t="s">
        <v>183</v>
      </c>
      <c r="C31" s="36" t="s">
        <v>184</v>
      </c>
    </row>
    <row r="32" spans="1:10" x14ac:dyDescent="0.25">
      <c r="B32" s="35" t="s">
        <v>185</v>
      </c>
      <c r="C32" s="36" t="s">
        <v>182</v>
      </c>
    </row>
    <row r="34" spans="1:10" x14ac:dyDescent="0.25">
      <c r="A34" s="11" t="s">
        <v>186</v>
      </c>
      <c r="B34" s="12"/>
      <c r="C34" s="12"/>
      <c r="D34" s="12"/>
      <c r="E34" s="12"/>
      <c r="F34" s="12"/>
      <c r="G34" s="12"/>
      <c r="H34" s="12"/>
      <c r="I34" s="12"/>
      <c r="J34" s="12"/>
    </row>
    <row r="35" spans="1:10" x14ac:dyDescent="0.25">
      <c r="B35" s="35" t="s">
        <v>187</v>
      </c>
      <c r="C35" s="36" t="s">
        <v>188</v>
      </c>
    </row>
    <row r="36" spans="1:10" x14ac:dyDescent="0.25">
      <c r="B36" s="35" t="s">
        <v>189</v>
      </c>
      <c r="C36" s="36" t="s">
        <v>190</v>
      </c>
    </row>
    <row r="37" spans="1:10" x14ac:dyDescent="0.25">
      <c r="B37" s="35" t="s">
        <v>191</v>
      </c>
      <c r="C37" s="36" t="s">
        <v>192</v>
      </c>
    </row>
    <row r="38" spans="1:10" x14ac:dyDescent="0.25">
      <c r="B38" s="35" t="s">
        <v>193</v>
      </c>
      <c r="C38" s="36" t="s">
        <v>194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showGridLines="0" workbookViewId="0"/>
  </sheetViews>
  <sheetFormatPr baseColWidth="10" defaultColWidth="9.140625" defaultRowHeight="15" x14ac:dyDescent="0.25"/>
  <cols>
    <col min="1" max="1" width="9" customWidth="1"/>
    <col min="2" max="2" width="42" customWidth="1"/>
    <col min="3" max="6" width="18" customWidth="1"/>
    <col min="7" max="7" width="12" customWidth="1"/>
  </cols>
  <sheetData>
    <row r="1" spans="1:7" ht="19.5" x14ac:dyDescent="0.3">
      <c r="A1" s="1" t="s">
        <v>195</v>
      </c>
    </row>
    <row r="2" spans="1:7" x14ac:dyDescent="0.25">
      <c r="A2" s="2" t="s">
        <v>196</v>
      </c>
    </row>
    <row r="4" spans="1:7" x14ac:dyDescent="0.25">
      <c r="A4" s="10" t="s">
        <v>108</v>
      </c>
      <c r="B4" s="10" t="s">
        <v>197</v>
      </c>
      <c r="C4" s="10" t="s">
        <v>198</v>
      </c>
      <c r="D4" s="10" t="s">
        <v>199</v>
      </c>
      <c r="E4" s="10" t="s">
        <v>200</v>
      </c>
      <c r="F4" s="10" t="s">
        <v>201</v>
      </c>
      <c r="G4" s="10" t="s">
        <v>202</v>
      </c>
    </row>
    <row r="5" spans="1:7" x14ac:dyDescent="0.25">
      <c r="A5" s="26" t="s">
        <v>117</v>
      </c>
      <c r="B5" s="13" t="s">
        <v>203</v>
      </c>
      <c r="C5" s="27">
        <f>SUMIFS(Costeo!$F$5:$F$22,Costeo!$A$5:$A$22,A5,Costeo!$H$5:$H$22,"Inicial")</f>
        <v>3600000</v>
      </c>
      <c r="D5" s="27">
        <f>SUMIFS(Costeo!$F$5:$F$22,Costeo!$A$5:$A$22,A5,Costeo!$H$5:$H$22,"Recurrente")</f>
        <v>0</v>
      </c>
      <c r="E5" s="28">
        <f t="shared" ref="E5:E10" si="0">C5+D5</f>
        <v>3600000</v>
      </c>
      <c r="F5" s="27">
        <f>SUMIFS(Costeo!$G$5:$G$22,Costeo!$A$5:$A$22,A5)</f>
        <v>0</v>
      </c>
      <c r="G5" s="37">
        <f t="shared" ref="G5:G13" si="1">IFERROR(E5/$E$13,0)</f>
        <v>6.1642724569659552E-2</v>
      </c>
    </row>
    <row r="6" spans="1:7" x14ac:dyDescent="0.25">
      <c r="A6" s="26" t="s">
        <v>123</v>
      </c>
      <c r="B6" s="13" t="s">
        <v>204</v>
      </c>
      <c r="C6" s="27">
        <f>SUMIFS(Costeo!$F$5:$F$22,Costeo!$A$5:$A$22,A6,Costeo!$H$5:$H$22,"Inicial")</f>
        <v>8400000</v>
      </c>
      <c r="D6" s="27">
        <f>SUMIFS(Costeo!$F$5:$F$22,Costeo!$A$5:$A$22,A6,Costeo!$H$5:$H$22,"Recurrente")</f>
        <v>0</v>
      </c>
      <c r="E6" s="28">
        <f t="shared" si="0"/>
        <v>8400000</v>
      </c>
      <c r="F6" s="27">
        <f>SUMIFS(Costeo!$G$5:$G$22,Costeo!$A$5:$A$22,A6)</f>
        <v>0</v>
      </c>
      <c r="G6" s="37">
        <f t="shared" si="1"/>
        <v>0.14383302399587228</v>
      </c>
    </row>
    <row r="7" spans="1:7" x14ac:dyDescent="0.25">
      <c r="A7" s="26" t="s">
        <v>134</v>
      </c>
      <c r="B7" s="13" t="s">
        <v>205</v>
      </c>
      <c r="C7" s="27">
        <f>SUMIFS(Costeo!$F$5:$F$22,Costeo!$A$5:$A$22,A7,Costeo!$H$5:$H$22,"Inicial")</f>
        <v>22100000</v>
      </c>
      <c r="D7" s="27">
        <f>SUMIFS(Costeo!$F$5:$F$22,Costeo!$A$5:$A$22,A7,Costeo!$H$5:$H$22,"Recurrente")</f>
        <v>3631866</v>
      </c>
      <c r="E7" s="28">
        <f t="shared" si="0"/>
        <v>25731866</v>
      </c>
      <c r="F7" s="27">
        <f>SUMIFS(Costeo!$G$5:$G$22,Costeo!$A$5:$A$22,A7)</f>
        <v>4323116</v>
      </c>
      <c r="G7" s="37">
        <f t="shared" si="1"/>
        <v>0.44060620236149645</v>
      </c>
    </row>
    <row r="8" spans="1:7" x14ac:dyDescent="0.25">
      <c r="A8" s="26" t="s">
        <v>156</v>
      </c>
      <c r="B8" s="13" t="s">
        <v>206</v>
      </c>
      <c r="C8" s="27">
        <f>SUMIFS(Costeo!$F$5:$F$22,Costeo!$A$5:$A$22,A8,Costeo!$H$5:$H$22,"Inicial")</f>
        <v>8800000</v>
      </c>
      <c r="D8" s="27">
        <f>SUMIFS(Costeo!$F$5:$F$22,Costeo!$A$5:$A$22,A8,Costeo!$H$5:$H$22,"Recurrente")</f>
        <v>0</v>
      </c>
      <c r="E8" s="28">
        <f t="shared" si="0"/>
        <v>8800000</v>
      </c>
      <c r="F8" s="27">
        <f>SUMIFS(Costeo!$G$5:$G$22,Costeo!$A$5:$A$22,A8)</f>
        <v>0</v>
      </c>
      <c r="G8" s="37">
        <f t="shared" si="1"/>
        <v>0.15068221561472336</v>
      </c>
    </row>
    <row r="9" spans="1:7" x14ac:dyDescent="0.25">
      <c r="A9" s="26" t="s">
        <v>166</v>
      </c>
      <c r="B9" s="13" t="s">
        <v>207</v>
      </c>
      <c r="C9" s="27">
        <f>SUMIFS(Costeo!$F$5:$F$22,Costeo!$A$5:$A$22,A9,Costeo!$H$5:$H$22,"Inicial")</f>
        <v>1080000</v>
      </c>
      <c r="D9" s="27">
        <f>SUMIFS(Costeo!$F$5:$F$22,Costeo!$A$5:$A$22,A9,Costeo!$H$5:$H$22,"Recurrente")</f>
        <v>2880000</v>
      </c>
      <c r="E9" s="28">
        <f t="shared" si="0"/>
        <v>3960000</v>
      </c>
      <c r="F9" s="27">
        <f>SUMIFS(Costeo!$G$5:$G$22,Costeo!$A$5:$A$22,A9)</f>
        <v>2880000</v>
      </c>
      <c r="G9" s="37">
        <f t="shared" si="1"/>
        <v>6.7806997026625501E-2</v>
      </c>
    </row>
    <row r="10" spans="1:7" x14ac:dyDescent="0.25">
      <c r="A10" s="26" t="s">
        <v>172</v>
      </c>
      <c r="B10" s="13" t="s">
        <v>208</v>
      </c>
      <c r="C10" s="27">
        <f>SUMIFS(Costeo!$F$5:$F$22,Costeo!$A$5:$A$22,A10,Costeo!$H$5:$H$22,"Inicial")</f>
        <v>2600000</v>
      </c>
      <c r="D10" s="27">
        <f>SUMIFS(Costeo!$F$5:$F$22,Costeo!$A$5:$A$22,A10,Costeo!$H$5:$H$22,"Recurrente")</f>
        <v>0</v>
      </c>
      <c r="E10" s="28">
        <f t="shared" si="0"/>
        <v>2600000</v>
      </c>
      <c r="F10" s="27">
        <f>SUMIFS(Costeo!$G$5:$G$22,Costeo!$A$5:$A$22,A10)</f>
        <v>0</v>
      </c>
      <c r="G10" s="37">
        <f t="shared" si="1"/>
        <v>4.4519745522531899E-2</v>
      </c>
    </row>
    <row r="11" spans="1:7" x14ac:dyDescent="0.25">
      <c r="A11" s="29" t="s">
        <v>175</v>
      </c>
      <c r="B11" s="30"/>
      <c r="C11" s="31">
        <f>SUM(C5:C10)</f>
        <v>46580000</v>
      </c>
      <c r="D11" s="31">
        <f>SUM(D5:D10)</f>
        <v>6511866</v>
      </c>
      <c r="E11" s="31">
        <f>SUM(E5:E10)</f>
        <v>53091866</v>
      </c>
      <c r="F11" s="31">
        <f>SUM(F5:F10)</f>
        <v>7203116</v>
      </c>
      <c r="G11" s="38">
        <f t="shared" si="1"/>
        <v>0.90909090909090906</v>
      </c>
    </row>
    <row r="12" spans="1:7" x14ac:dyDescent="0.25">
      <c r="A12" s="29" t="s">
        <v>176</v>
      </c>
      <c r="B12" s="30"/>
      <c r="C12" s="31">
        <f>C11*Supuestos!$B$31</f>
        <v>4658000</v>
      </c>
      <c r="D12" s="31">
        <f>D11*Supuestos!$B$31</f>
        <v>651186.60000000009</v>
      </c>
      <c r="E12" s="31">
        <f>E11*Supuestos!$B$31</f>
        <v>5309186.6000000006</v>
      </c>
      <c r="F12" s="31">
        <f>F11*Supuestos!$B$31</f>
        <v>720311.60000000009</v>
      </c>
      <c r="G12" s="38">
        <f t="shared" si="1"/>
        <v>9.0909090909090912E-2</v>
      </c>
    </row>
    <row r="13" spans="1:7" x14ac:dyDescent="0.25">
      <c r="A13" s="33" t="s">
        <v>177</v>
      </c>
      <c r="B13" s="30"/>
      <c r="C13" s="34">
        <f>C11+C12</f>
        <v>51238000</v>
      </c>
      <c r="D13" s="34">
        <f>D11+D12</f>
        <v>7163052.5999999996</v>
      </c>
      <c r="E13" s="34">
        <f>E11+E12</f>
        <v>58401052.600000001</v>
      </c>
      <c r="F13" s="34">
        <f>F11+F12</f>
        <v>7923427.5999999996</v>
      </c>
      <c r="G13" s="39">
        <f t="shared" si="1"/>
        <v>1</v>
      </c>
    </row>
    <row r="15" spans="1:7" x14ac:dyDescent="0.25">
      <c r="A15" s="11" t="s">
        <v>209</v>
      </c>
      <c r="B15" s="12"/>
      <c r="C15" s="12"/>
      <c r="D15" s="12"/>
      <c r="E15" s="12"/>
      <c r="F15" s="12"/>
      <c r="G15" s="12"/>
    </row>
    <row r="16" spans="1:7" x14ac:dyDescent="0.25">
      <c r="B16" s="35" t="s">
        <v>210</v>
      </c>
      <c r="E16" s="40">
        <f>E13</f>
        <v>58401052.600000001</v>
      </c>
    </row>
    <row r="17" spans="2:5" x14ac:dyDescent="0.25">
      <c r="B17" s="35" t="s">
        <v>211</v>
      </c>
      <c r="E17" s="41">
        <f>Supuestos!$B$33</f>
        <v>83600000</v>
      </c>
    </row>
    <row r="18" spans="2:5" x14ac:dyDescent="0.25">
      <c r="B18" s="35" t="s">
        <v>212</v>
      </c>
      <c r="E18" s="42">
        <f>E17-E16</f>
        <v>25198947.399999999</v>
      </c>
    </row>
    <row r="19" spans="2:5" x14ac:dyDescent="0.25">
      <c r="B19" s="35" t="s">
        <v>213</v>
      </c>
      <c r="E19" s="43">
        <f>IFERROR(E17/E16,0)</f>
        <v>1.4314810483398719</v>
      </c>
    </row>
    <row r="20" spans="2:5" x14ac:dyDescent="0.25">
      <c r="B20" s="35" t="s">
        <v>214</v>
      </c>
      <c r="E20" s="44">
        <f>IFERROR(E16/Supuestos!$B$32,0)</f>
        <v>0.26545932999999999</v>
      </c>
    </row>
    <row r="21" spans="2:5" x14ac:dyDescent="0.25">
      <c r="B21" s="35" t="s">
        <v>215</v>
      </c>
      <c r="E21" s="44">
        <f>IFERROR(E17/Supuestos!$B$32,0)</f>
        <v>0.38</v>
      </c>
    </row>
    <row r="22" spans="2:5" x14ac:dyDescent="0.25">
      <c r="B22" s="36" t="s">
        <v>216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showGridLines="0" workbookViewId="0"/>
  </sheetViews>
  <sheetFormatPr baseColWidth="10" defaultColWidth="9.140625" defaultRowHeight="15" x14ac:dyDescent="0.25"/>
  <cols>
    <col min="1" max="1" width="58" customWidth="1"/>
    <col min="2" max="2" width="22" customWidth="1"/>
    <col min="3" max="3" width="24" customWidth="1"/>
  </cols>
  <sheetData>
    <row r="1" spans="1:3" ht="19.5" x14ac:dyDescent="0.3">
      <c r="A1" s="1" t="s">
        <v>217</v>
      </c>
    </row>
    <row r="2" spans="1:3" x14ac:dyDescent="0.25">
      <c r="A2" s="2" t="s">
        <v>218</v>
      </c>
    </row>
    <row r="4" spans="1:3" x14ac:dyDescent="0.25">
      <c r="A4" s="11" t="s">
        <v>219</v>
      </c>
      <c r="B4" s="12"/>
      <c r="C4" s="12"/>
    </row>
    <row r="5" spans="1:3" x14ac:dyDescent="0.25">
      <c r="A5" s="35" t="s">
        <v>72</v>
      </c>
      <c r="B5" s="45">
        <f>Supuestos!B20</f>
        <v>1150</v>
      </c>
    </row>
    <row r="6" spans="1:3" x14ac:dyDescent="0.25">
      <c r="A6" s="35" t="s">
        <v>220</v>
      </c>
      <c r="B6" s="46">
        <f>Supuestos!B26</f>
        <v>0.86</v>
      </c>
    </row>
    <row r="7" spans="1:3" x14ac:dyDescent="0.25">
      <c r="A7" s="35" t="s">
        <v>221</v>
      </c>
      <c r="B7" s="46">
        <f>Supuestos!B27</f>
        <v>0.9</v>
      </c>
    </row>
    <row r="8" spans="1:3" x14ac:dyDescent="0.25">
      <c r="A8" s="35" t="s">
        <v>91</v>
      </c>
      <c r="B8" s="45">
        <f>Supuestos!B28</f>
        <v>46</v>
      </c>
    </row>
    <row r="9" spans="1:3" x14ac:dyDescent="0.25">
      <c r="A9" s="35" t="s">
        <v>94</v>
      </c>
      <c r="B9" s="47">
        <f>Supuestos!B29</f>
        <v>0.5</v>
      </c>
    </row>
    <row r="10" spans="1:3" x14ac:dyDescent="0.25">
      <c r="A10" s="35" t="s">
        <v>222</v>
      </c>
      <c r="B10" s="48">
        <f>B8*B9</f>
        <v>23</v>
      </c>
    </row>
    <row r="11" spans="1:3" x14ac:dyDescent="0.25">
      <c r="A11" s="35" t="s">
        <v>223</v>
      </c>
      <c r="B11" s="48">
        <f>B8+B8*B9</f>
        <v>69</v>
      </c>
    </row>
    <row r="12" spans="1:3" x14ac:dyDescent="0.25">
      <c r="A12" s="35" t="s">
        <v>224</v>
      </c>
      <c r="B12" s="48">
        <f>B10+B11</f>
        <v>92</v>
      </c>
    </row>
    <row r="13" spans="1:3" x14ac:dyDescent="0.25">
      <c r="A13" s="36" t="s">
        <v>225</v>
      </c>
    </row>
    <row r="15" spans="1:3" x14ac:dyDescent="0.25">
      <c r="A15" s="11" t="s">
        <v>226</v>
      </c>
      <c r="B15" s="12"/>
      <c r="C15" s="12"/>
    </row>
    <row r="16" spans="1:3" x14ac:dyDescent="0.25">
      <c r="A16" s="10"/>
      <c r="B16" s="10" t="s">
        <v>227</v>
      </c>
      <c r="C16" s="10" t="s">
        <v>228</v>
      </c>
    </row>
    <row r="17" spans="1:3" x14ac:dyDescent="0.25">
      <c r="A17" s="35" t="s">
        <v>229</v>
      </c>
      <c r="B17" s="41">
        <f>Resumen!E13</f>
        <v>58401052.600000001</v>
      </c>
      <c r="C17" s="41">
        <f>Supuestos!B33</f>
        <v>83600000</v>
      </c>
    </row>
    <row r="18" spans="1:3" x14ac:dyDescent="0.25">
      <c r="A18" s="35" t="s">
        <v>230</v>
      </c>
      <c r="B18" s="49">
        <f>Resumen!E13+Resumen!F13</f>
        <v>66324480.200000003</v>
      </c>
      <c r="C18" s="49">
        <f>Supuestos!B33+Resumen!F13</f>
        <v>91523427.599999994</v>
      </c>
    </row>
    <row r="20" spans="1:3" x14ac:dyDescent="0.25">
      <c r="A20" s="11" t="s">
        <v>231</v>
      </c>
      <c r="B20" s="12"/>
      <c r="C20" s="12"/>
    </row>
    <row r="21" spans="1:3" x14ac:dyDescent="0.25">
      <c r="A21" s="10" t="s">
        <v>232</v>
      </c>
      <c r="B21" s="10" t="s">
        <v>227</v>
      </c>
      <c r="C21" s="10" t="s">
        <v>228</v>
      </c>
    </row>
    <row r="22" spans="1:3" x14ac:dyDescent="0.25">
      <c r="A22" s="35" t="s">
        <v>233</v>
      </c>
      <c r="B22" s="40">
        <f>IFERROR(B17/($B$10*12),0)</f>
        <v>211598.01666666666</v>
      </c>
      <c r="C22" s="40">
        <f>IFERROR(C17/($B$10*12),0)</f>
        <v>302898.55072463769</v>
      </c>
    </row>
    <row r="23" spans="1:3" x14ac:dyDescent="0.25">
      <c r="A23" s="35" t="s">
        <v>234</v>
      </c>
      <c r="B23" s="40">
        <f>IFERROR(B17/($B$8*12),0)</f>
        <v>105799.00833333333</v>
      </c>
      <c r="C23" s="40">
        <f>IFERROR(C17/($B$8*12),0)</f>
        <v>151449.27536231885</v>
      </c>
    </row>
    <row r="24" spans="1:3" x14ac:dyDescent="0.25">
      <c r="A24" s="50" t="s">
        <v>235</v>
      </c>
      <c r="B24" s="31">
        <f>IFERROR(B18/($B$12*12),0)</f>
        <v>60076.521920289859</v>
      </c>
      <c r="C24" s="31">
        <f>IFERROR(C18/($B$12*12),0)</f>
        <v>82901.655434782602</v>
      </c>
    </row>
    <row r="25" spans="1:3" x14ac:dyDescent="0.25">
      <c r="A25" s="36" t="s">
        <v>236</v>
      </c>
    </row>
    <row r="27" spans="1:3" x14ac:dyDescent="0.25">
      <c r="A27" s="11" t="s">
        <v>237</v>
      </c>
      <c r="B27" s="12"/>
      <c r="C27" s="12"/>
    </row>
    <row r="28" spans="1:3" x14ac:dyDescent="0.25">
      <c r="A28" s="3" t="s">
        <v>238</v>
      </c>
      <c r="B28" s="51"/>
      <c r="C28" s="36" t="s">
        <v>239</v>
      </c>
    </row>
    <row r="29" spans="1:3" x14ac:dyDescent="0.25">
      <c r="A29" s="35" t="s">
        <v>240</v>
      </c>
      <c r="B29" s="52" t="str">
        <f>IF(B28="","completar B28",IF(B28&gt;=C24,"se paga","no se paga en este horizonte"))</f>
        <v>completar B28</v>
      </c>
    </row>
    <row r="30" spans="1:3" x14ac:dyDescent="0.25">
      <c r="A30" s="35" t="s">
        <v>241</v>
      </c>
      <c r="B30" s="52" t="str">
        <f>IF(B28="","completar B28",IF(B28&gt;=C22,"se paga","no se paga en este horizonte"))</f>
        <v>completar B28</v>
      </c>
    </row>
    <row r="31" spans="1:3" x14ac:dyDescent="0.25">
      <c r="A31" s="36" t="s">
        <v>242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Leeme</vt:lpstr>
      <vt:lpstr>Supuestos</vt:lpstr>
      <vt:lpstr>Costeo</vt:lpstr>
      <vt:lpstr>Resumen</vt:lpstr>
      <vt:lpstr>Equilibrio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García</cp:lastModifiedBy>
  <dcterms:created xsi:type="dcterms:W3CDTF">2026-09-10T12:59:30Z</dcterms:created>
  <dcterms:modified xsi:type="dcterms:W3CDTF">2026-09-10T13:00:21Z</dcterms:modified>
</cp:coreProperties>
</file>